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velopment" sheetId="2" state="visible" r:id="rId4"/>
    <sheet name="Data &amp; Database" sheetId="3" state="visible" r:id="rId5"/>
    <sheet name="Infrastructure &amp; APIs" sheetId="4" state="visible" r:id="rId6"/>
    <sheet name="Legal &amp; Accounts" sheetId="5" state="visible" r:id="rId7"/>
    <sheet name="Marketing" sheetId="6" state="visible" r:id="rId8"/>
    <sheet name="Assumptions &amp;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<sst xmlns="http://schemas.openxmlformats.org/spreadsheetml/2006/main" count="212" uniqueCount="184">
  <si>
    <t xml:space="preserve">Ledger — Launch Budget Overview</t>
  </si>
  <si>
    <t xml:space="preserve">Native iOS/Android ingredient-scanner app · all figures in USD · low/high ranges reflect scrappy-indie vs. well-resourced execution</t>
  </si>
  <si>
    <t xml:space="preserve">How to use this workbook</t>
  </si>
  <si>
    <t xml:space="preserve">Each tab below builds up one cost category with line-item assumptions (blue = editable inputs). This tab rolls every tab's subtotal into one picture. Edit hours, rates, or monthly spend on the detail tabs and everything here updates automatically.</t>
  </si>
  <si>
    <t xml:space="preserve">Category</t>
  </si>
  <si>
    <t xml:space="preserve">Detail tab</t>
  </si>
  <si>
    <t xml:space="preserve">One-time cost — Low</t>
  </si>
  <si>
    <t xml:space="preserve">One-time cost — High</t>
  </si>
  <si>
    <t xml:space="preserve">Monthly recurring — Low</t>
  </si>
  <si>
    <t xml:space="preserve">Monthly recurring — High</t>
  </si>
  <si>
    <t xml:space="preserve">Product development (build the app)</t>
  </si>
  <si>
    <t xml:space="preserve">Development</t>
  </si>
  <si>
    <t xml:space="preserve">Ingredient database &amp; content curation</t>
  </si>
  <si>
    <t xml:space="preserve">Data &amp; Database</t>
  </si>
  <si>
    <t xml:space="preserve">Infrastructure, hosting &amp; APIs</t>
  </si>
  <si>
    <t xml:space="preserve">Infrastructure &amp; APIs</t>
  </si>
  <si>
    <t xml:space="preserve">Legal, accounts &amp; compliance</t>
  </si>
  <si>
    <t xml:space="preserve">Legal &amp; Accounts</t>
  </si>
  <si>
    <t xml:space="preserve">Marketing — pre-launch &amp; launch</t>
  </si>
  <si>
    <t xml:space="preserve">Marketing</t>
  </si>
  <si>
    <t xml:space="preserve">Marketing — ongoing (post-launch)</t>
  </si>
  <si>
    <t xml:space="preserve">TOTAL</t>
  </si>
  <si>
    <t xml:space="preserve">Estimated Year-1 total (one-time + 12 months recurring)</t>
  </si>
  <si>
    <t xml:space="preserve">Low</t>
  </si>
  <si>
    <t xml:space="preserve">High</t>
  </si>
  <si>
    <t xml:space="preserve">Key takeaways</t>
  </si>
  <si>
    <t xml:space="preserve">• Development and the ~200-ingredient seed dataset (spec §7.C, §10) are the two big one-time costs — budget real hours for the content work, it's not just engineering.</t>
  </si>
  <si>
    <t xml:space="preserve">• Database itself stays cheap: the Ingredient table is tiny; the Product cache only gets expensive if you mirror all of Open Food Facts instead of caching on demand (spec §7.A) — see the Data &amp; Database tab.</t>
  </si>
  <si>
    <t xml:space="preserve">• Marketing is the widest range in this budget — it scales with how aggressive the launch push is. The low end assumes organic/ASO + light paid; the high end assumes a real paid-UA budget.</t>
  </si>
  <si>
    <t xml:space="preserve">• Apple ($99/yr) and Google Play ($25 one-time) developer accounts should be opened early — spec §11 notes review time is outside your control.</t>
  </si>
  <si>
    <t xml:space="preserve">Development Costs</t>
  </si>
  <si>
    <t xml:space="preserve">Roles are sized against the build order in spec §10 — a solo full-stack contractor can cover more than one row</t>
  </si>
  <si>
    <t xml:space="preserve">Role</t>
  </si>
  <si>
    <t xml:space="preserve">Approach / who does it</t>
  </si>
  <si>
    <t xml:space="preserve">Hours — Low</t>
  </si>
  <si>
    <t xml:space="preserve">Hours — High</t>
  </si>
  <si>
    <t xml:space="preserve">Rate/hr — Low</t>
  </si>
  <si>
    <t xml:space="preserve">Rate/hr — High</t>
  </si>
  <si>
    <t xml:space="preserve">Cost — Low</t>
  </si>
  <si>
    <t xml:space="preserve">Cost — High</t>
  </si>
  <si>
    <t xml:space="preserve">Notes (spec ref)</t>
  </si>
  <si>
    <t xml:space="preserve">React Native / Expo developer — core build</t>
  </si>
  <si>
    <t xml:space="preserve">Freelance contractor (Asia/HK-market rate); covers screens 1-4, scan flow, parsing/matching, compare screen</t>
  </si>
  <si>
    <t xml:space="preserve">Build order items 1, 3-7 (§10); Home/Scan/Label/Compare screens (§4)</t>
  </si>
  <si>
    <t xml:space="preserve">Backend / data engineer — Supabase &amp; ETL</t>
  </si>
  <si>
    <t xml:space="preserve">Can be the same person as above if full-stack; Postgres schema, pg_trgm fuzzy matching, Open Food Facts ETL</t>
  </si>
  <si>
    <t xml:space="preserve">§6 schema, §7.C-D import pipeline, §8 tech stack</t>
  </si>
  <si>
    <t xml:space="preserve">UI/product designer — polish to production</t>
  </si>
  <si>
    <t xml:space="preserve">Freelance; turn the existing validated mockup (§5) into final assets, icons, empty/error states</t>
  </si>
  <si>
    <t xml:space="preserve">§5 design system already validated; §9 empty/error states</t>
  </si>
  <si>
    <t xml:space="preserve">QA / device testing</t>
  </si>
  <si>
    <t xml:space="preserve">Freelance or founder time; barcode/OCR edge cases, App Store review prep</t>
  </si>
  <si>
    <t xml:space="preserve">§9 non-negotiables; §11 review prep</t>
  </si>
  <si>
    <t xml:space="preserve">OCR/photo-fallback integration</t>
  </si>
  <si>
    <t xml:space="preserve">Wiring Google Vision API (or similar) for unbarcoded products</t>
  </si>
  <si>
    <t xml:space="preserve">Build order item 6 (§10); §8 OCR notes</t>
  </si>
  <si>
    <t xml:space="preserve">Subtotal — engineering hours</t>
  </si>
  <si>
    <t xml:space="preserve">One-off flat costs</t>
  </si>
  <si>
    <t xml:space="preserve">Expo EAS build &amp; submit plan (annual)</t>
  </si>
  <si>
    <t xml:space="preserve">EAS free tier covers early internal builds; paid tier ($29-99/mo) only needed at higher build volume — see §11</t>
  </si>
  <si>
    <t xml:space="preserve">Dev devices for real-device testing (if needed)</t>
  </si>
  <si>
    <t xml:space="preserve">Barcode/OCR needs real hardware testing, not just simulator</t>
  </si>
  <si>
    <t xml:space="preserve">TOTAL — DEVELOPMENT (one-time)</t>
  </si>
  <si>
    <t xml:space="preserve">Ingredient Database &amp; Content Curation</t>
  </si>
  <si>
    <t xml:space="preserve">Build order items 1-2 (§10): this content work should run in parallel with screen-building, not after it</t>
  </si>
  <si>
    <t xml:space="preserve">One-time content build</t>
  </si>
  <si>
    <t xml:space="preserve">Task</t>
  </si>
  <si>
    <t xml:space="preserve">Curated ~200-ingredient core set: FDA lookup, CFR citation, plain-English explanation, human verification</t>
  </si>
  <si>
    <t xml:space="preserve">§7.C step 1 — 'budget real time for it, a spreadsheet verified entry-by-entry'</t>
  </si>
  <si>
    <t xml:space="preserve">Everyday allow-list curation (~40-60 items, salt/water/sugar/etc.)</t>
  </si>
  <si>
    <t xml:space="preserve">§3 'notable' definition, §6 everyday_allowlist field</t>
  </si>
  <si>
    <t xml:space="preserve">HK/Asia barcode coverage sample test (~50 barcodes vs. Open Food Facts)</t>
  </si>
  <si>
    <t xml:space="preserve">§7.A — decides whether manual-entry fallback is needed at launch, not v2</t>
  </si>
  <si>
    <t xml:space="preserve">Seed data import + ETL script (spreadsheet → Postgres)</t>
  </si>
  <si>
    <t xml:space="preserve">§7.C step 2; overlaps with Development tab backend hours</t>
  </si>
  <si>
    <t xml:space="preserve">TOTAL — ONE-TIME CONTENT BUILD</t>
  </si>
  <si>
    <t xml:space="preserve">Ongoing maintenance (recurring)</t>
  </si>
  <si>
    <t xml:space="preserve">Hours/quarter — Low</t>
  </si>
  <si>
    <t xml:space="preserve">Hours/quarter — High</t>
  </si>
  <si>
    <t xml:space="preserve">Cost/mo — Low</t>
  </si>
  <si>
    <t xml:space="preserve">Cost/mo — High</t>
  </si>
  <si>
    <t xml:space="preserve">Notes</t>
  </si>
  <si>
    <t xml:space="preserve">Quarterly spot-check of core ~200 ingredients against FDA site (delistings, status changes)</t>
  </si>
  <si>
    <t xml:space="preserve">§7.D — 'a manual review discipline, not an engineering problem'</t>
  </si>
  <si>
    <t xml:space="preserve">Backlog processing: new unmatched ingredients logged by the app</t>
  </si>
  <si>
    <t xml:space="preserve">§7.C step 5 — unmatched ingredients logged, not errored</t>
  </si>
  <si>
    <t xml:space="preserve">TOTAL — ONGOING MAINTENANCE (monthly)</t>
  </si>
  <si>
    <t xml:space="preserve">Database size — what actually needs storing</t>
  </si>
  <si>
    <t xml:space="preserve">Table / dataset</t>
  </si>
  <si>
    <t xml:space="preserve">Est. rows</t>
  </si>
  <si>
    <t xml:space="preserve">Est. size</t>
  </si>
  <si>
    <t xml:space="preserve">Ingredient table (curated core + backlog)</t>
  </si>
  <si>
    <t xml:space="preserve">200 → 2,000</t>
  </si>
  <si>
    <t xml:space="preserve">&lt; 10 MB</t>
  </si>
  <si>
    <t xml:space="preserve">Small by design — this is a reference table, not user data (§6)</t>
  </si>
  <si>
    <t xml:space="preserve">Product cache — barcode → ingredients, on-demand (recommended)</t>
  </si>
  <si>
    <t xml:space="preserve">10k (yr 1) → 100k+ (growth)</t>
  </si>
  <si>
    <t xml:space="preserve">~30 MB → ~400 MB</t>
  </si>
  <si>
    <t xml:space="preserve">Cache Open Food Facts hits as users scan, per §7.A live-API approach</t>
  </si>
  <si>
    <t xml:space="preserve">Full Open Food Facts bulk mirror (NOT recommended)</t>
  </si>
  <si>
    <t xml:space="preserve">3,000,000+</t>
  </si>
  <si>
    <t xml:space="preserve">Several GB+</t>
  </si>
  <si>
    <t xml:space="preserve">Spec §7.A frames the bulk export as a seed/reference, not something to fully mirror — avoid unless you have a specific reason</t>
  </si>
  <si>
    <t xml:space="preserve">User accounts / scan history (only if added — not in v1 scope)</t>
  </si>
  <si>
    <t xml:space="preserve">—</t>
  </si>
  <si>
    <t xml:space="preserve">Small until scale</t>
  </si>
  <si>
    <t xml:space="preserve">§1-11 describe no accounts/personalization for v1; §13.2 flags this as a v2 idea</t>
  </si>
  <si>
    <t xml:space="preserve">Infrastructure, Hosting &amp; APIs</t>
  </si>
  <si>
    <t xml:space="preserve">All recurring — costs scale with usage, so two scenarios are shown (early/soft-launch vs. growth)</t>
  </si>
  <si>
    <t xml:space="preserve">Service</t>
  </si>
  <si>
    <t xml:space="preserve">What it's for</t>
  </si>
  <si>
    <t xml:space="preserve">Monthly — Low (early)</t>
  </si>
  <si>
    <t xml:space="preserve">Monthly — High (growth)</t>
  </si>
  <si>
    <t xml:space="preserve">Supabase (Postgres + auth + storage)</t>
  </si>
  <si>
    <t xml:space="preserve">Backend hosting for Ingredient/Product tables, §6 schema</t>
  </si>
  <si>
    <t xml:space="preserve">Free tier (500MB DB) covers dev + soft launch; Pro tier ($25/mo base) needed once product cache grows — §11</t>
  </si>
  <si>
    <t xml:space="preserve">Google Vision API (OCR)</t>
  </si>
  <si>
    <t xml:space="preserve">Photo-fallback ingredient scanning, §8</t>
  </si>
  <si>
    <t xml:space="preserve">~1,000 units/mo free, then ~$1.50/1,000 units — scales with photo-scan volume</t>
  </si>
  <si>
    <t xml:space="preserve">Open Food Facts API</t>
  </si>
  <si>
    <t xml:space="preserve">Barcode → raw ingredient list, §7.A</t>
  </si>
  <si>
    <t xml:space="preserve">Free, ODbL-licensed</t>
  </si>
  <si>
    <t xml:space="preserve">USDA FoodData Central</t>
  </si>
  <si>
    <t xml:space="preserve">Secondary source for US-branded products, §7.A</t>
  </si>
  <si>
    <t xml:space="preserve">Free bulk CSV/JSON</t>
  </si>
  <si>
    <t xml:space="preserve">Domain name</t>
  </si>
  <si>
    <t xml:space="preserve">e.g. tryledger.app or similar</t>
  </si>
  <si>
    <t xml:space="preserve">$12-20/yr amortized monthly</t>
  </si>
  <si>
    <t xml:space="preserve">Error monitoring (e.g. Sentry) / analytics</t>
  </si>
  <si>
    <t xml:space="preserve">Crash reporting, usage analytics</t>
  </si>
  <si>
    <t xml:space="preserve">Generous free tiers exist at this scale</t>
  </si>
  <si>
    <t xml:space="preserve">Misc SaaS (design tools, project mgmt, email)</t>
  </si>
  <si>
    <t xml:space="preserve">Figma, Notion/Linear, transactional email, etc.</t>
  </si>
  <si>
    <t xml:space="preserve">Mostly avoidable pre-launch with free tiers</t>
  </si>
  <si>
    <t xml:space="preserve">TOTAL — INFRASTRUCTURE (monthly)</t>
  </si>
  <si>
    <t xml:space="preserve">Legal, Accounts &amp; Compliance</t>
  </si>
  <si>
    <t xml:space="preserve">The legal framing in spec §1 (informational reference, not health advice) makes the ToS/disclaimer review worth doing properly</t>
  </si>
  <si>
    <t xml:space="preserve">One-time</t>
  </si>
  <si>
    <t xml:space="preserve">Item</t>
  </si>
  <si>
    <t xml:space="preserve">Google Play Console (one-time developer fee)</t>
  </si>
  <si>
    <t xml:space="preserve">§11 — required before Play Store submission</t>
  </si>
  <si>
    <t xml:space="preserve">Terms of Service / Privacy Policy + health-disclaimer legal review</t>
  </si>
  <si>
    <t xml:space="preserve">§1 — 'informational reference tool, not a health-advice tool' is a legal positioning, worth a real review</t>
  </si>
  <si>
    <t xml:space="preserve">Business registration (sole proprietor / HK company)</t>
  </si>
  <si>
    <t xml:space="preserve">Varies by structure — rough placeholder, confirm with a local accountant</t>
  </si>
  <si>
    <t xml:space="preserve">Trademark / name search (optional)</t>
  </si>
  <si>
    <t xml:space="preserve">Optional but worth doing before committing to a brand name</t>
  </si>
  <si>
    <t xml:space="preserve">TOTAL — ONE-TIME</t>
  </si>
  <si>
    <t xml:space="preserve">Recurring</t>
  </si>
  <si>
    <t xml:space="preserve">Apple Developer Program ($99/yr)</t>
  </si>
  <si>
    <t xml:space="preserve">§11 — required for App Store submission, enroll early (review can take days)</t>
  </si>
  <si>
    <t xml:space="preserve">TOTAL — RECURRING (monthly)</t>
  </si>
  <si>
    <t xml:space="preserve">Marketing — Pre-launch, Launch &amp; Ongoing</t>
  </si>
  <si>
    <t xml:space="preserve">Widest range in the budget — scales directly with how aggressive the user-acquisition push is</t>
  </si>
  <si>
    <t xml:space="preserve">Pre-launch &amp; launch (one-time)</t>
  </si>
  <si>
    <t xml:space="preserve">Landing page + email waitlist</t>
  </si>
  <si>
    <t xml:space="preserve">DIY page vs. designed/built by a freelancer</t>
  </si>
  <si>
    <t xml:space="preserve">Brand assets: App Store screenshots, preview video, icon refinement</t>
  </si>
  <si>
    <t xml:space="preserve">Builds on the already-validated design system, §5</t>
  </si>
  <si>
    <t xml:space="preserve">ASO (App Store Optimization) keyword research/tools</t>
  </si>
  <si>
    <t xml:space="preserve">One-time research pass + tool subscription</t>
  </si>
  <si>
    <t xml:space="preserve">Launch PR (press kit + outreach, or a PR contractor)</t>
  </si>
  <si>
    <t xml:space="preserve">Positioning against Yuka (§12) is a genuine story for health/tech press</t>
  </si>
  <si>
    <t xml:space="preserve">Micro-influencer seeding (nutrition/health creators)</t>
  </si>
  <si>
    <t xml:space="preserve">Free product + flat fee for a launch batch of posts/reviews</t>
  </si>
  <si>
    <t xml:space="preserve">TOTAL — PRE-LAUNCH &amp; LAUNCH</t>
  </si>
  <si>
    <t xml:space="preserve">Ongoing (monthly, post-launch)</t>
  </si>
  <si>
    <t xml:space="preserve">Paid user acquisition (Apple Search Ads + Meta/Instagram)</t>
  </si>
  <si>
    <t xml:space="preserve">At an est. $1-3 CPI for health apps, this buys roughly 200-3,000 installs/mo</t>
  </si>
  <si>
    <t xml:space="preserve">Content marketing (blog/SEO on food additives, social content)</t>
  </si>
  <si>
    <t xml:space="preserve">DIY founder content vs. a freelance writer/creator</t>
  </si>
  <si>
    <t xml:space="preserve">Community &amp; social management</t>
  </si>
  <si>
    <t xml:space="preserve">Founder time (low) vs. part-time hire (high)</t>
  </si>
  <si>
    <t xml:space="preserve">Email/CRM tool for the waitlist and retention</t>
  </si>
  <si>
    <t xml:space="preserve">Free tiers cover early volume</t>
  </si>
  <si>
    <t xml:space="preserve">TOTAL — ONGOING (monthly)</t>
  </si>
  <si>
    <t xml:space="preserve">Assumptions &amp; Sources</t>
  </si>
  <si>
    <t xml:space="preserve">Every figure in this workbook is an estimate — verify against current pricing before treating it as a real budget</t>
  </si>
  <si>
    <t xml:space="preserve">General</t>
  </si>
  <si>
    <t xml:space="preserve">• All figures are rough planning ranges based on general market rates as of 2026, not quotes — get real quotes from contractors/agencies before committing.</t>
  </si>
  <si>
    <t xml:space="preserve">• This budget is built directly from the product spec in ledger-product-spec.md (Ledger, native iOS/Android ingredient scanner) — every line item references the relevant section.</t>
  </si>
  <si>
    <t xml:space="preserve">• Freelance/contractor rates assume a Hong Kong/Asia-based hire, which is materially cheaper than US/EU agency rates; adjust the rate columns on the Development and Data &amp; Database tabs if hiring elsewhere.</t>
  </si>
  <si>
    <t xml:space="preserve">• 'Low' scenarios generally assume a scrappy, mostly-solo build with free-tier infrastructure; 'High' scenarios assume more outside help and a real paid-marketing push.</t>
  </si>
  <si>
    <t xml:space="preserve">• Apple Developer Program and Google Play Console fees, and Supabase/Google Vision pricing tiers, are the figures most likely to drift — re-check these directly before finalizing a budget.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</si>
</sst>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A22"/>
      <name val="Arial"/>
      <family val="0"/>
      <charset val="1"/>
    </font>
    <font>
      <i val="true"/>
      <sz val="10"/>
      <color rgb="FF6E7A70"/>
      <name val="Arial"/>
      <family val="0"/>
      <charset val="1"/>
    </font>
    <font>
      <b val="true"/>
      <sz val="10"/>
      <color rgb="FF1E2A22"/>
      <name val="Arial"/>
      <family val="0"/>
      <charset val="1"/>
    </font>
    <font>
      <sz val="10"/>
      <color rgb="FF1E2A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6B5E"/>
        <bgColor rgb="FF008080"/>
      </patternFill>
    </fill>
    <fill>
      <patternFill patternType="solid">
        <fgColor rgb="FFFBF1E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D9"/>
      </left>
      <right style="thin">
        <color rgb="FFDCE3D9"/>
      </right>
      <top style="thin">
        <color rgb="FFDCE3D9"/>
      </top>
      <bottom style="thin">
        <color rgb="FFDCE3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E"/>
      <rgbColor rgb="FFC0C0C0"/>
      <rgbColor rgb="FF6E7A70"/>
      <rgbColor rgb="FF9999FF"/>
      <rgbColor rgb="FF993366"/>
      <rgbColor rgb="FFFBF1E2"/>
      <rgbColor rgb="FFCCFFFF"/>
      <rgbColor rgb="FF660066"/>
      <rgbColor rgb="FFFF8080"/>
      <rgbColor rgb="FF0066CC"/>
      <rgbColor rgb="FFDCE3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6" min="5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42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30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</row>
    <row r="8" customFormat="false" ht="15" hidden="false" customHeight="false" outlineLevel="0" collapsed="false">
      <c r="A8" s="6" t="s">
        <v>10</v>
      </c>
      <c r="B8" s="6" t="s">
        <v>11</v>
      </c>
      <c r="C8" s="7" t="n">
        <f aca="false">Development!G15</f>
        <v>16500</v>
      </c>
      <c r="D8" s="7" t="n">
        <f aca="false">Development!H15</f>
        <v>60250</v>
      </c>
      <c r="E8" s="7" t="n">
        <v>0</v>
      </c>
      <c r="F8" s="7" t="n">
        <v>0</v>
      </c>
    </row>
    <row r="9" customFormat="false" ht="15" hidden="false" customHeight="false" outlineLevel="0" collapsed="false">
      <c r="A9" s="6" t="s">
        <v>12</v>
      </c>
      <c r="B9" s="6" t="s">
        <v>13</v>
      </c>
      <c r="C9" s="7" t="n">
        <f aca="false">'Data &amp; Database'!F10</f>
        <v>2960</v>
      </c>
      <c r="D9" s="7" t="n">
        <f aca="false">'Data &amp; Database'!G10</f>
        <v>8960</v>
      </c>
      <c r="E9" s="7" t="n">
        <f aca="false">'Data &amp; Database'!F16</f>
        <v>116.666666666667</v>
      </c>
      <c r="F9" s="7" t="n">
        <f aca="false">'Data &amp; Database'!G16</f>
        <v>465</v>
      </c>
    </row>
    <row r="10" customFormat="false" ht="15" hidden="false" customHeight="false" outlineLevel="0" collapsed="false">
      <c r="A10" s="6" t="s">
        <v>14</v>
      </c>
      <c r="B10" s="6" t="s">
        <v>15</v>
      </c>
      <c r="C10" s="7" t="n">
        <v>0</v>
      </c>
      <c r="D10" s="7" t="n">
        <v>0</v>
      </c>
      <c r="E10" s="7" t="n">
        <f aca="false">'Infrastructure &amp; APIs'!C12</f>
        <v>1</v>
      </c>
      <c r="F10" s="7" t="n">
        <f aca="false">'Infrastructure &amp; APIs'!D12</f>
        <v>232</v>
      </c>
    </row>
    <row r="11" customFormat="false" ht="15" hidden="false" customHeight="false" outlineLevel="0" collapsed="false">
      <c r="A11" s="6" t="s">
        <v>16</v>
      </c>
      <c r="B11" s="6" t="s">
        <v>17</v>
      </c>
      <c r="C11" s="7" t="n">
        <f aca="false">'Legal &amp; Accounts'!B10</f>
        <v>1025</v>
      </c>
      <c r="D11" s="7" t="n">
        <f aca="false">'Legal &amp; Accounts'!C10</f>
        <v>5725</v>
      </c>
      <c r="E11" s="7" t="n">
        <f aca="false">'Legal &amp; Accounts'!B15</f>
        <v>8.25</v>
      </c>
      <c r="F11" s="7" t="n">
        <f aca="false">'Legal &amp; Accounts'!C15</f>
        <v>8.25</v>
      </c>
    </row>
    <row r="12" customFormat="false" ht="15" hidden="false" customHeight="false" outlineLevel="0" collapsed="false">
      <c r="A12" s="6" t="s">
        <v>18</v>
      </c>
      <c r="B12" s="6" t="s">
        <v>19</v>
      </c>
      <c r="C12" s="7" t="n">
        <f aca="false">Marketing!B11</f>
        <v>3000</v>
      </c>
      <c r="D12" s="7" t="n">
        <f aca="false">Marketing!C11</f>
        <v>17300</v>
      </c>
      <c r="E12" s="7" t="n">
        <v>0</v>
      </c>
      <c r="F12" s="7" t="n">
        <v>0</v>
      </c>
    </row>
    <row r="13" customFormat="false" ht="15" hidden="false" customHeight="false" outlineLevel="0" collapsed="false">
      <c r="A13" s="6" t="s">
        <v>20</v>
      </c>
      <c r="B13" s="6" t="s">
        <v>19</v>
      </c>
      <c r="C13" s="7" t="n">
        <v>0</v>
      </c>
      <c r="D13" s="7" t="n">
        <v>0</v>
      </c>
      <c r="E13" s="7" t="n">
        <f aca="false">Marketing!B19</f>
        <v>800</v>
      </c>
      <c r="F13" s="7" t="n">
        <f aca="false">Marketing!C19</f>
        <v>8530</v>
      </c>
    </row>
    <row r="14" customFormat="false" ht="15" hidden="false" customHeight="false" outlineLevel="0" collapsed="false">
      <c r="A14" s="8" t="s">
        <v>21</v>
      </c>
      <c r="B14" s="8"/>
      <c r="C14" s="9" t="n">
        <f aca="false">SUM(C8:C13)</f>
        <v>23485</v>
      </c>
      <c r="D14" s="9" t="n">
        <f aca="false">SUM(D8:D13)</f>
        <v>92235</v>
      </c>
      <c r="E14" s="9" t="n">
        <f aca="false">SUM(E8:E13)</f>
        <v>925.916666666667</v>
      </c>
      <c r="F14" s="9" t="n">
        <f aca="false">SUM(F8:F13)</f>
        <v>9235.25</v>
      </c>
    </row>
    <row r="16" customFormat="false" ht="15" hidden="false" customHeight="false" outlineLevel="0" collapsed="false">
      <c r="A16" s="3" t="s">
        <v>22</v>
      </c>
      <c r="C16" s="10" t="n">
        <f aca="false">C14+E14*12</f>
        <v>34596</v>
      </c>
      <c r="D16" s="10" t="n">
        <f aca="false">D14+F14*12</f>
        <v>203058</v>
      </c>
      <c r="E16" s="11" t="s">
        <v>23</v>
      </c>
      <c r="F16" s="11" t="s">
        <v>24</v>
      </c>
    </row>
    <row r="18" customFormat="false" ht="15" hidden="false" customHeight="false" outlineLevel="0" collapsed="false">
      <c r="A18" s="3" t="s">
        <v>25</v>
      </c>
    </row>
    <row r="19" customFormat="false" ht="27.75" hidden="false" customHeight="true" outlineLevel="0" collapsed="false">
      <c r="A19" s="4" t="s">
        <v>26</v>
      </c>
      <c r="B19" s="4"/>
      <c r="C19" s="4"/>
      <c r="D19" s="4"/>
      <c r="E19" s="4"/>
      <c r="F19" s="4"/>
    </row>
    <row r="20" customFormat="false" ht="27.75" hidden="false" customHeight="true" outlineLevel="0" collapsed="false">
      <c r="A20" s="4" t="s">
        <v>27</v>
      </c>
      <c r="B20" s="4"/>
      <c r="C20" s="4"/>
      <c r="D20" s="4"/>
      <c r="E20" s="4"/>
      <c r="F20" s="4"/>
    </row>
    <row r="21" customFormat="false" ht="27.75" hidden="false" customHeight="true" outlineLevel="0" collapsed="false">
      <c r="A21" s="4" t="s">
        <v>28</v>
      </c>
      <c r="B21" s="4"/>
      <c r="C21" s="4"/>
      <c r="D21" s="4"/>
      <c r="E21" s="4"/>
      <c r="F21" s="4"/>
    </row>
    <row r="22" customFormat="false" ht="27.75" hidden="false" customHeight="true" outlineLevel="0" collapsed="false">
      <c r="A22" s="4" t="s">
        <v>29</v>
      </c>
      <c r="B22" s="4"/>
      <c r="C22" s="4"/>
      <c r="D22" s="4"/>
      <c r="E22" s="4"/>
      <c r="F22" s="4"/>
    </row>
  </sheetData>
  <mergeCells count="7">
    <mergeCell ref="A1:F1"/>
    <mergeCell ref="A2:F2"/>
    <mergeCell ref="A5:F5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6" min="3" style="0" width="10"/>
    <col collapsed="false" customWidth="true" hidden="false" outlineLevel="0" max="8" min="7" style="0" width="12"/>
    <col collapsed="false" customWidth="true" hidden="false" outlineLevel="0" max="9" min="9" style="0" width="42"/>
  </cols>
  <sheetData>
    <row r="1" customFormat="false" ht="24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</row>
    <row r="5" customFormat="false" ht="30" hidden="false" customHeight="true" outlineLevel="0" collapsed="false">
      <c r="A5" s="6" t="s">
        <v>41</v>
      </c>
      <c r="B5" s="12" t="s">
        <v>42</v>
      </c>
      <c r="C5" s="13" t="n">
        <v>350</v>
      </c>
      <c r="D5" s="13" t="n">
        <v>600</v>
      </c>
      <c r="E5" s="14" t="n">
        <v>30</v>
      </c>
      <c r="F5" s="14" t="n">
        <v>60</v>
      </c>
      <c r="G5" s="7" t="n">
        <f aca="false">C5*E5</f>
        <v>10500</v>
      </c>
      <c r="H5" s="7" t="n">
        <f aca="false">D5*F5</f>
        <v>36000</v>
      </c>
      <c r="I5" s="12" t="s">
        <v>43</v>
      </c>
    </row>
    <row r="6" customFormat="false" ht="30" hidden="false" customHeight="true" outlineLevel="0" collapsed="false">
      <c r="A6" s="6" t="s">
        <v>44</v>
      </c>
      <c r="B6" s="12" t="s">
        <v>45</v>
      </c>
      <c r="C6" s="13" t="n">
        <v>80</v>
      </c>
      <c r="D6" s="13" t="n">
        <v>150</v>
      </c>
      <c r="E6" s="14" t="n">
        <v>35</v>
      </c>
      <c r="F6" s="14" t="n">
        <v>65</v>
      </c>
      <c r="G6" s="7" t="n">
        <f aca="false">C6*E6</f>
        <v>2800</v>
      </c>
      <c r="H6" s="7" t="n">
        <f aca="false">D6*F6</f>
        <v>9750</v>
      </c>
      <c r="I6" s="12" t="s">
        <v>46</v>
      </c>
    </row>
    <row r="7" customFormat="false" ht="30" hidden="false" customHeight="true" outlineLevel="0" collapsed="false">
      <c r="A7" s="6" t="s">
        <v>47</v>
      </c>
      <c r="B7" s="12" t="s">
        <v>48</v>
      </c>
      <c r="C7" s="13" t="n">
        <v>40</v>
      </c>
      <c r="D7" s="13" t="n">
        <v>100</v>
      </c>
      <c r="E7" s="14" t="n">
        <v>35</v>
      </c>
      <c r="F7" s="14" t="n">
        <v>70</v>
      </c>
      <c r="G7" s="7" t="n">
        <f aca="false">C7*E7</f>
        <v>1400</v>
      </c>
      <c r="H7" s="7" t="n">
        <f aca="false">D7*F7</f>
        <v>7000</v>
      </c>
      <c r="I7" s="12" t="s">
        <v>49</v>
      </c>
    </row>
    <row r="8" customFormat="false" ht="30" hidden="false" customHeight="true" outlineLevel="0" collapsed="false">
      <c r="A8" s="6" t="s">
        <v>50</v>
      </c>
      <c r="B8" s="12" t="s">
        <v>51</v>
      </c>
      <c r="C8" s="13" t="n">
        <v>40</v>
      </c>
      <c r="D8" s="13" t="n">
        <v>80</v>
      </c>
      <c r="E8" s="14" t="n">
        <v>25</v>
      </c>
      <c r="F8" s="14" t="n">
        <v>50</v>
      </c>
      <c r="G8" s="7" t="n">
        <f aca="false">C8*E8</f>
        <v>1000</v>
      </c>
      <c r="H8" s="7" t="n">
        <f aca="false">D8*F8</f>
        <v>4000</v>
      </c>
      <c r="I8" s="12" t="s">
        <v>52</v>
      </c>
    </row>
    <row r="9" customFormat="false" ht="30" hidden="false" customHeight="true" outlineLevel="0" collapsed="false">
      <c r="A9" s="6" t="s">
        <v>53</v>
      </c>
      <c r="B9" s="12" t="s">
        <v>54</v>
      </c>
      <c r="C9" s="13" t="n">
        <v>20</v>
      </c>
      <c r="D9" s="13" t="n">
        <v>45</v>
      </c>
      <c r="E9" s="14" t="n">
        <v>30</v>
      </c>
      <c r="F9" s="14" t="n">
        <v>60</v>
      </c>
      <c r="G9" s="7" t="n">
        <f aca="false">C9*E9</f>
        <v>600</v>
      </c>
      <c r="H9" s="7" t="n">
        <f aca="false">D9*F9</f>
        <v>2700</v>
      </c>
      <c r="I9" s="12" t="s">
        <v>55</v>
      </c>
    </row>
    <row r="10" customFormat="false" ht="15" hidden="false" customHeight="false" outlineLevel="0" collapsed="false">
      <c r="A10" s="8" t="s">
        <v>56</v>
      </c>
      <c r="B10" s="8"/>
      <c r="C10" s="8" t="n">
        <f aca="false">SUM(C5:C9)</f>
        <v>530</v>
      </c>
      <c r="D10" s="8" t="n">
        <f aca="false">SUM(D5:D9)</f>
        <v>975</v>
      </c>
      <c r="E10" s="8"/>
      <c r="F10" s="8"/>
      <c r="G10" s="9" t="n">
        <f aca="false">SUM(G5:G9)</f>
        <v>16300</v>
      </c>
      <c r="H10" s="9" t="n">
        <f aca="false">SUM(H5:H9)</f>
        <v>59450</v>
      </c>
      <c r="I10" s="8"/>
    </row>
    <row r="12" customFormat="false" ht="15" hidden="false" customHeight="false" outlineLevel="0" collapsed="false">
      <c r="A12" s="3" t="s">
        <v>57</v>
      </c>
    </row>
    <row r="13" customFormat="false" ht="25.5" hidden="false" customHeight="true" outlineLevel="0" collapsed="false">
      <c r="A13" s="15" t="s">
        <v>58</v>
      </c>
      <c r="G13" s="16" t="n">
        <v>0</v>
      </c>
      <c r="H13" s="16" t="n">
        <v>0</v>
      </c>
      <c r="I13" s="17" t="s">
        <v>59</v>
      </c>
    </row>
    <row r="14" customFormat="false" ht="25.5" hidden="false" customHeight="true" outlineLevel="0" collapsed="false">
      <c r="A14" s="15" t="s">
        <v>60</v>
      </c>
      <c r="G14" s="16" t="n">
        <v>200</v>
      </c>
      <c r="H14" s="16" t="n">
        <v>800</v>
      </c>
      <c r="I14" s="17" t="s">
        <v>61</v>
      </c>
    </row>
    <row r="15" customFormat="false" ht="15" hidden="false" customHeight="false" outlineLevel="0" collapsed="false">
      <c r="A15" s="8" t="s">
        <v>62</v>
      </c>
      <c r="B15" s="8"/>
      <c r="C15" s="8"/>
      <c r="D15" s="8"/>
      <c r="E15" s="8"/>
      <c r="F15" s="8"/>
      <c r="G15" s="9" t="n">
        <f aca="false">G10+SUM(G13:G14)</f>
        <v>16500</v>
      </c>
      <c r="H15" s="9" t="n">
        <f aca="false">H10+SUM(H13:H14)</f>
        <v>60250</v>
      </c>
      <c r="I15" s="8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7" min="4" style="0" width="12"/>
    <col collapsed="false" customWidth="true" hidden="false" outlineLevel="0" max="8" min="8" style="0" width="40"/>
  </cols>
  <sheetData>
    <row r="1" customFormat="false" ht="24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65</v>
      </c>
    </row>
    <row r="5" customFormat="false" ht="30" hidden="false" customHeight="true" outlineLevel="0" collapsed="false">
      <c r="A5" s="5" t="s">
        <v>66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</row>
    <row r="6" customFormat="false" ht="33.75" hidden="false" customHeight="true" outlineLevel="0" collapsed="false">
      <c r="A6" s="12" t="s">
        <v>67</v>
      </c>
      <c r="B6" s="13" t="n">
        <v>100</v>
      </c>
      <c r="C6" s="13" t="n">
        <v>160</v>
      </c>
      <c r="D6" s="14" t="n">
        <v>25</v>
      </c>
      <c r="E6" s="14" t="n">
        <v>45</v>
      </c>
      <c r="F6" s="18" t="n">
        <f aca="false">B6*D6</f>
        <v>2500</v>
      </c>
      <c r="G6" s="18" t="n">
        <f aca="false">C6*E6</f>
        <v>7200</v>
      </c>
      <c r="H6" s="12" t="s">
        <v>68</v>
      </c>
    </row>
    <row r="7" customFormat="false" ht="33.75" hidden="false" customHeight="true" outlineLevel="0" collapsed="false">
      <c r="A7" s="12" t="s">
        <v>69</v>
      </c>
      <c r="B7" s="13" t="n">
        <v>4</v>
      </c>
      <c r="C7" s="13" t="n">
        <v>8</v>
      </c>
      <c r="D7" s="14" t="n">
        <v>20</v>
      </c>
      <c r="E7" s="14" t="n">
        <v>35</v>
      </c>
      <c r="F7" s="18" t="n">
        <f aca="false">B7*D7</f>
        <v>80</v>
      </c>
      <c r="G7" s="18" t="n">
        <f aca="false">C7*E7</f>
        <v>280</v>
      </c>
      <c r="H7" s="12" t="s">
        <v>70</v>
      </c>
    </row>
    <row r="8" customFormat="false" ht="33.75" hidden="false" customHeight="true" outlineLevel="0" collapsed="false">
      <c r="A8" s="12" t="s">
        <v>71</v>
      </c>
      <c r="B8" s="13" t="n">
        <v>4</v>
      </c>
      <c r="C8" s="13" t="n">
        <v>8</v>
      </c>
      <c r="D8" s="14" t="n">
        <v>20</v>
      </c>
      <c r="E8" s="14" t="n">
        <v>35</v>
      </c>
      <c r="F8" s="18" t="n">
        <f aca="false">B8*D8</f>
        <v>80</v>
      </c>
      <c r="G8" s="18" t="n">
        <f aca="false">C8*E8</f>
        <v>280</v>
      </c>
      <c r="H8" s="12" t="s">
        <v>72</v>
      </c>
    </row>
    <row r="9" customFormat="false" ht="33.75" hidden="false" customHeight="true" outlineLevel="0" collapsed="false">
      <c r="A9" s="12" t="s">
        <v>73</v>
      </c>
      <c r="B9" s="13" t="n">
        <v>10</v>
      </c>
      <c r="C9" s="13" t="n">
        <v>20</v>
      </c>
      <c r="D9" s="14" t="n">
        <v>30</v>
      </c>
      <c r="E9" s="14" t="n">
        <v>60</v>
      </c>
      <c r="F9" s="18" t="n">
        <f aca="false">B9*D9</f>
        <v>300</v>
      </c>
      <c r="G9" s="18" t="n">
        <f aca="false">C9*E9</f>
        <v>1200</v>
      </c>
      <c r="H9" s="12" t="s">
        <v>74</v>
      </c>
    </row>
    <row r="10" customFormat="false" ht="15" hidden="false" customHeight="false" outlineLevel="0" collapsed="false">
      <c r="A10" s="8" t="s">
        <v>75</v>
      </c>
      <c r="B10" s="8"/>
      <c r="C10" s="8"/>
      <c r="D10" s="8"/>
      <c r="E10" s="8"/>
      <c r="F10" s="9" t="n">
        <f aca="false">SUM(F6:F9)</f>
        <v>2960</v>
      </c>
      <c r="G10" s="9" t="n">
        <f aca="false">SUM(G6:G9)</f>
        <v>8960</v>
      </c>
      <c r="H10" s="8"/>
    </row>
    <row r="12" customFormat="false" ht="15" hidden="false" customHeight="false" outlineLevel="0" collapsed="false">
      <c r="A12" s="3" t="s">
        <v>76</v>
      </c>
    </row>
    <row r="13" customFormat="false" ht="30" hidden="false" customHeight="true" outlineLevel="0" collapsed="false">
      <c r="A13" s="5" t="s">
        <v>66</v>
      </c>
      <c r="B13" s="5" t="s">
        <v>77</v>
      </c>
      <c r="C13" s="5" t="s">
        <v>78</v>
      </c>
      <c r="D13" s="5" t="s">
        <v>36</v>
      </c>
      <c r="E13" s="5" t="s">
        <v>37</v>
      </c>
      <c r="F13" s="5" t="s">
        <v>79</v>
      </c>
      <c r="G13" s="5" t="s">
        <v>80</v>
      </c>
      <c r="H13" s="5" t="s">
        <v>81</v>
      </c>
    </row>
    <row r="14" customFormat="false" ht="33.75" hidden="false" customHeight="true" outlineLevel="0" collapsed="false">
      <c r="A14" s="12" t="s">
        <v>82</v>
      </c>
      <c r="B14" s="13" t="n">
        <v>8</v>
      </c>
      <c r="C14" s="13" t="n">
        <v>16</v>
      </c>
      <c r="D14" s="14" t="n">
        <v>25</v>
      </c>
      <c r="E14" s="14" t="n">
        <v>45</v>
      </c>
      <c r="F14" s="18" t="n">
        <f aca="false">(B14*D14)/3</f>
        <v>66.6666666666667</v>
      </c>
      <c r="G14" s="18" t="n">
        <f aca="false">(C14*E14)/3</f>
        <v>240</v>
      </c>
      <c r="H14" s="12" t="s">
        <v>83</v>
      </c>
    </row>
    <row r="15" customFormat="false" ht="33.75" hidden="false" customHeight="true" outlineLevel="0" collapsed="false">
      <c r="A15" s="12" t="s">
        <v>84</v>
      </c>
      <c r="B15" s="13" t="n">
        <v>6</v>
      </c>
      <c r="C15" s="13" t="n">
        <v>15</v>
      </c>
      <c r="D15" s="14" t="n">
        <v>25</v>
      </c>
      <c r="E15" s="14" t="n">
        <v>45</v>
      </c>
      <c r="F15" s="18" t="n">
        <f aca="false">(B15*D15)/3</f>
        <v>50</v>
      </c>
      <c r="G15" s="18" t="n">
        <f aca="false">(C15*E15)/3</f>
        <v>225</v>
      </c>
      <c r="H15" s="12" t="s">
        <v>85</v>
      </c>
    </row>
    <row r="16" customFormat="false" ht="15" hidden="false" customHeight="false" outlineLevel="0" collapsed="false">
      <c r="A16" s="8" t="s">
        <v>86</v>
      </c>
      <c r="B16" s="8"/>
      <c r="C16" s="8"/>
      <c r="D16" s="8"/>
      <c r="E16" s="8"/>
      <c r="F16" s="9" t="n">
        <f aca="false">SUM(F14:F15)</f>
        <v>116.666666666667</v>
      </c>
      <c r="G16" s="9" t="n">
        <f aca="false">SUM(G14:G15)</f>
        <v>465</v>
      </c>
      <c r="H16" s="8"/>
    </row>
    <row r="18" customFormat="false" ht="15" hidden="false" customHeight="false" outlineLevel="0" collapsed="false">
      <c r="A18" s="3" t="s">
        <v>87</v>
      </c>
    </row>
    <row r="19" customFormat="false" ht="15" hidden="false" customHeight="false" outlineLevel="0" collapsed="false">
      <c r="A19" s="5" t="s">
        <v>88</v>
      </c>
      <c r="B19" s="5" t="s">
        <v>89</v>
      </c>
      <c r="C19" s="5" t="s">
        <v>90</v>
      </c>
      <c r="D19" s="5" t="s">
        <v>81</v>
      </c>
    </row>
    <row r="20" customFormat="false" ht="30" hidden="false" customHeight="true" outlineLevel="0" collapsed="false">
      <c r="A20" s="12" t="s">
        <v>91</v>
      </c>
      <c r="B20" s="6" t="s">
        <v>92</v>
      </c>
      <c r="C20" s="6" t="s">
        <v>93</v>
      </c>
      <c r="D20" s="12" t="s">
        <v>94</v>
      </c>
    </row>
    <row r="21" customFormat="false" ht="30" hidden="false" customHeight="true" outlineLevel="0" collapsed="false">
      <c r="A21" s="12" t="s">
        <v>95</v>
      </c>
      <c r="B21" s="6" t="s">
        <v>96</v>
      </c>
      <c r="C21" s="6" t="s">
        <v>97</v>
      </c>
      <c r="D21" s="12" t="s">
        <v>98</v>
      </c>
    </row>
    <row r="22" customFormat="false" ht="30" hidden="false" customHeight="true" outlineLevel="0" collapsed="false">
      <c r="A22" s="12" t="s">
        <v>99</v>
      </c>
      <c r="B22" s="6" t="s">
        <v>100</v>
      </c>
      <c r="C22" s="6" t="s">
        <v>101</v>
      </c>
      <c r="D22" s="12" t="s">
        <v>102</v>
      </c>
    </row>
    <row r="23" customFormat="false" ht="30" hidden="false" customHeight="true" outlineLevel="0" collapsed="false">
      <c r="A23" s="12" t="s">
        <v>103</v>
      </c>
      <c r="B23" s="6" t="s">
        <v>104</v>
      </c>
      <c r="C23" s="6" t="s">
        <v>105</v>
      </c>
      <c r="D23" s="12" t="s">
        <v>106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5" min="5" style="0" width="46"/>
  </cols>
  <sheetData>
    <row r="1" customFormat="false" ht="24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108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109</v>
      </c>
      <c r="B4" s="5" t="s">
        <v>110</v>
      </c>
      <c r="C4" s="5" t="s">
        <v>111</v>
      </c>
      <c r="D4" s="5" t="s">
        <v>112</v>
      </c>
      <c r="E4" s="5" t="s">
        <v>40</v>
      </c>
    </row>
    <row r="5" customFormat="false" ht="31.5" hidden="false" customHeight="true" outlineLevel="0" collapsed="false">
      <c r="A5" s="6" t="s">
        <v>113</v>
      </c>
      <c r="B5" s="12" t="s">
        <v>114</v>
      </c>
      <c r="C5" s="14" t="n">
        <v>0</v>
      </c>
      <c r="D5" s="14" t="n">
        <v>100</v>
      </c>
      <c r="E5" s="12" t="s">
        <v>115</v>
      </c>
    </row>
    <row r="6" customFormat="false" ht="31.5" hidden="false" customHeight="true" outlineLevel="0" collapsed="false">
      <c r="A6" s="6" t="s">
        <v>116</v>
      </c>
      <c r="B6" s="12" t="s">
        <v>117</v>
      </c>
      <c r="C6" s="14" t="n">
        <v>0</v>
      </c>
      <c r="D6" s="14" t="n">
        <v>60</v>
      </c>
      <c r="E6" s="12" t="s">
        <v>118</v>
      </c>
    </row>
    <row r="7" customFormat="false" ht="31.5" hidden="false" customHeight="true" outlineLevel="0" collapsed="false">
      <c r="A7" s="6" t="s">
        <v>119</v>
      </c>
      <c r="B7" s="12" t="s">
        <v>120</v>
      </c>
      <c r="C7" s="14" t="n">
        <v>0</v>
      </c>
      <c r="D7" s="14" t="n">
        <v>0</v>
      </c>
      <c r="E7" s="12" t="s">
        <v>121</v>
      </c>
    </row>
    <row r="8" customFormat="false" ht="31.5" hidden="false" customHeight="true" outlineLevel="0" collapsed="false">
      <c r="A8" s="6" t="s">
        <v>122</v>
      </c>
      <c r="B8" s="12" t="s">
        <v>123</v>
      </c>
      <c r="C8" s="14" t="n">
        <v>0</v>
      </c>
      <c r="D8" s="14" t="n">
        <v>0</v>
      </c>
      <c r="E8" s="12" t="s">
        <v>124</v>
      </c>
    </row>
    <row r="9" customFormat="false" ht="31.5" hidden="false" customHeight="true" outlineLevel="0" collapsed="false">
      <c r="A9" s="6" t="s">
        <v>125</v>
      </c>
      <c r="B9" s="12" t="s">
        <v>126</v>
      </c>
      <c r="C9" s="14" t="n">
        <v>1</v>
      </c>
      <c r="D9" s="14" t="n">
        <v>2</v>
      </c>
      <c r="E9" s="12" t="s">
        <v>127</v>
      </c>
    </row>
    <row r="10" customFormat="false" ht="31.5" hidden="false" customHeight="true" outlineLevel="0" collapsed="false">
      <c r="A10" s="6" t="s">
        <v>128</v>
      </c>
      <c r="B10" s="12" t="s">
        <v>129</v>
      </c>
      <c r="C10" s="14" t="n">
        <v>0</v>
      </c>
      <c r="D10" s="14" t="n">
        <v>30</v>
      </c>
      <c r="E10" s="12" t="s">
        <v>130</v>
      </c>
    </row>
    <row r="11" customFormat="false" ht="31.5" hidden="false" customHeight="true" outlineLevel="0" collapsed="false">
      <c r="A11" s="6" t="s">
        <v>131</v>
      </c>
      <c r="B11" s="12" t="s">
        <v>132</v>
      </c>
      <c r="C11" s="14" t="n">
        <v>0</v>
      </c>
      <c r="D11" s="14" t="n">
        <v>40</v>
      </c>
      <c r="E11" s="12" t="s">
        <v>133</v>
      </c>
    </row>
    <row r="12" customFormat="false" ht="15" hidden="false" customHeight="false" outlineLevel="0" collapsed="false">
      <c r="A12" s="8" t="s">
        <v>134</v>
      </c>
      <c r="B12" s="8"/>
      <c r="C12" s="9" t="n">
        <f aca="false">SUM(C5:C11)</f>
        <v>1</v>
      </c>
      <c r="D12" s="9" t="n">
        <f aca="false">SUM(D5:D11)</f>
        <v>232</v>
      </c>
      <c r="E12" s="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135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136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137</v>
      </c>
    </row>
    <row r="5" customFormat="false" ht="15" hidden="false" customHeight="false" outlineLevel="0" collapsed="false">
      <c r="A5" s="5" t="s">
        <v>138</v>
      </c>
      <c r="B5" s="5" t="s">
        <v>38</v>
      </c>
      <c r="C5" s="5" t="s">
        <v>39</v>
      </c>
      <c r="D5" s="5" t="s">
        <v>40</v>
      </c>
    </row>
    <row r="6" customFormat="false" ht="31.5" hidden="false" customHeight="true" outlineLevel="0" collapsed="false">
      <c r="A6" s="12" t="s">
        <v>139</v>
      </c>
      <c r="B6" s="14" t="n">
        <v>25</v>
      </c>
      <c r="C6" s="14" t="n">
        <v>25</v>
      </c>
      <c r="D6" s="12" t="s">
        <v>140</v>
      </c>
    </row>
    <row r="7" customFormat="false" ht="31.5" hidden="false" customHeight="true" outlineLevel="0" collapsed="false">
      <c r="A7" s="12" t="s">
        <v>141</v>
      </c>
      <c r="B7" s="14" t="n">
        <v>800</v>
      </c>
      <c r="C7" s="14" t="n">
        <v>3000</v>
      </c>
      <c r="D7" s="12" t="s">
        <v>142</v>
      </c>
    </row>
    <row r="8" customFormat="false" ht="31.5" hidden="false" customHeight="true" outlineLevel="0" collapsed="false">
      <c r="A8" s="12" t="s">
        <v>143</v>
      </c>
      <c r="B8" s="14" t="n">
        <v>200</v>
      </c>
      <c r="C8" s="14" t="n">
        <v>1200</v>
      </c>
      <c r="D8" s="12" t="s">
        <v>144</v>
      </c>
    </row>
    <row r="9" customFormat="false" ht="31.5" hidden="false" customHeight="true" outlineLevel="0" collapsed="false">
      <c r="A9" s="12" t="s">
        <v>145</v>
      </c>
      <c r="B9" s="14" t="n">
        <v>0</v>
      </c>
      <c r="C9" s="14" t="n">
        <v>1500</v>
      </c>
      <c r="D9" s="12" t="s">
        <v>146</v>
      </c>
    </row>
    <row r="10" customFormat="false" ht="15" hidden="false" customHeight="false" outlineLevel="0" collapsed="false">
      <c r="A10" s="8" t="s">
        <v>147</v>
      </c>
      <c r="B10" s="9" t="n">
        <f aca="false">SUM(B6:B9)</f>
        <v>1025</v>
      </c>
      <c r="C10" s="9" t="n">
        <f aca="false">SUM(C6:C9)</f>
        <v>5725</v>
      </c>
      <c r="D10" s="8"/>
    </row>
    <row r="12" customFormat="false" ht="15" hidden="false" customHeight="false" outlineLevel="0" collapsed="false">
      <c r="A12" s="3" t="s">
        <v>148</v>
      </c>
    </row>
    <row r="13" customFormat="false" ht="26.85" hidden="false" customHeight="false" outlineLevel="0" collapsed="false">
      <c r="A13" s="5" t="s">
        <v>138</v>
      </c>
      <c r="B13" s="5" t="s">
        <v>79</v>
      </c>
      <c r="C13" s="5" t="s">
        <v>80</v>
      </c>
      <c r="D13" s="5" t="s">
        <v>81</v>
      </c>
    </row>
    <row r="14" customFormat="false" ht="30" hidden="false" customHeight="true" outlineLevel="0" collapsed="false">
      <c r="A14" s="6" t="s">
        <v>149</v>
      </c>
      <c r="B14" s="18" t="n">
        <f aca="false">99/12</f>
        <v>8.25</v>
      </c>
      <c r="C14" s="18" t="n">
        <f aca="false">99/12</f>
        <v>8.25</v>
      </c>
      <c r="D14" s="12" t="s">
        <v>150</v>
      </c>
    </row>
    <row r="15" customFormat="false" ht="15" hidden="false" customHeight="false" outlineLevel="0" collapsed="false">
      <c r="A15" s="8" t="s">
        <v>151</v>
      </c>
      <c r="B15" s="9" t="n">
        <f aca="false">SUM(B14:B14)</f>
        <v>8.25</v>
      </c>
      <c r="C15" s="9" t="n">
        <f aca="false">SUM(C14:C14)</f>
        <v>8.25</v>
      </c>
      <c r="D15" s="8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52"/>
  </cols>
  <sheetData>
    <row r="1" customFormat="false" ht="24" hidden="false" customHeight="true" outlineLevel="0" collapsed="false">
      <c r="A1" s="1" t="s">
        <v>152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153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154</v>
      </c>
    </row>
    <row r="5" customFormat="false" ht="15" hidden="false" customHeight="false" outlineLevel="0" collapsed="false">
      <c r="A5" s="5" t="s">
        <v>138</v>
      </c>
      <c r="B5" s="5" t="s">
        <v>38</v>
      </c>
      <c r="C5" s="5" t="s">
        <v>39</v>
      </c>
      <c r="D5" s="5" t="s">
        <v>81</v>
      </c>
    </row>
    <row r="6" customFormat="false" ht="31.5" hidden="false" customHeight="true" outlineLevel="0" collapsed="false">
      <c r="A6" s="12" t="s">
        <v>155</v>
      </c>
      <c r="B6" s="14" t="n">
        <v>0</v>
      </c>
      <c r="C6" s="14" t="n">
        <v>500</v>
      </c>
      <c r="D6" s="12" t="s">
        <v>156</v>
      </c>
    </row>
    <row r="7" customFormat="false" ht="31.5" hidden="false" customHeight="true" outlineLevel="0" collapsed="false">
      <c r="A7" s="12" t="s">
        <v>157</v>
      </c>
      <c r="B7" s="14" t="n">
        <v>500</v>
      </c>
      <c r="C7" s="14" t="n">
        <v>2500</v>
      </c>
      <c r="D7" s="12" t="s">
        <v>158</v>
      </c>
    </row>
    <row r="8" customFormat="false" ht="31.5" hidden="false" customHeight="true" outlineLevel="0" collapsed="false">
      <c r="A8" s="12" t="s">
        <v>159</v>
      </c>
      <c r="B8" s="14" t="n">
        <v>0</v>
      </c>
      <c r="C8" s="14" t="n">
        <v>300</v>
      </c>
      <c r="D8" s="12" t="s">
        <v>160</v>
      </c>
    </row>
    <row r="9" customFormat="false" ht="31.5" hidden="false" customHeight="true" outlineLevel="0" collapsed="false">
      <c r="A9" s="12" t="s">
        <v>161</v>
      </c>
      <c r="B9" s="14" t="n">
        <v>1000</v>
      </c>
      <c r="C9" s="14" t="n">
        <v>6000</v>
      </c>
      <c r="D9" s="12" t="s">
        <v>162</v>
      </c>
    </row>
    <row r="10" customFormat="false" ht="31.5" hidden="false" customHeight="true" outlineLevel="0" collapsed="false">
      <c r="A10" s="12" t="s">
        <v>163</v>
      </c>
      <c r="B10" s="14" t="n">
        <v>1500</v>
      </c>
      <c r="C10" s="14" t="n">
        <v>8000</v>
      </c>
      <c r="D10" s="12" t="s">
        <v>164</v>
      </c>
    </row>
    <row r="11" customFormat="false" ht="15" hidden="false" customHeight="false" outlineLevel="0" collapsed="false">
      <c r="A11" s="8" t="s">
        <v>165</v>
      </c>
      <c r="B11" s="9" t="n">
        <f aca="false">SUM(B6:B10)</f>
        <v>3000</v>
      </c>
      <c r="C11" s="9" t="n">
        <f aca="false">SUM(C6:C10)</f>
        <v>17300</v>
      </c>
      <c r="D11" s="8"/>
    </row>
    <row r="13" customFormat="false" ht="15" hidden="false" customHeight="false" outlineLevel="0" collapsed="false">
      <c r="A13" s="3" t="s">
        <v>166</v>
      </c>
    </row>
    <row r="14" customFormat="false" ht="26.85" hidden="false" customHeight="false" outlineLevel="0" collapsed="false">
      <c r="A14" s="5" t="s">
        <v>138</v>
      </c>
      <c r="B14" s="5" t="s">
        <v>79</v>
      </c>
      <c r="C14" s="5" t="s">
        <v>80</v>
      </c>
      <c r="D14" s="5" t="s">
        <v>81</v>
      </c>
    </row>
    <row r="15" customFormat="false" ht="31.5" hidden="false" customHeight="true" outlineLevel="0" collapsed="false">
      <c r="A15" s="12" t="s">
        <v>167</v>
      </c>
      <c r="B15" s="14" t="n">
        <v>500</v>
      </c>
      <c r="C15" s="14" t="n">
        <v>5000</v>
      </c>
      <c r="D15" s="12" t="s">
        <v>168</v>
      </c>
    </row>
    <row r="16" customFormat="false" ht="31.5" hidden="false" customHeight="true" outlineLevel="0" collapsed="false">
      <c r="A16" s="12" t="s">
        <v>169</v>
      </c>
      <c r="B16" s="14" t="n">
        <v>300</v>
      </c>
      <c r="C16" s="14" t="n">
        <v>2000</v>
      </c>
      <c r="D16" s="12" t="s">
        <v>170</v>
      </c>
    </row>
    <row r="17" customFormat="false" ht="31.5" hidden="false" customHeight="true" outlineLevel="0" collapsed="false">
      <c r="A17" s="12" t="s">
        <v>171</v>
      </c>
      <c r="B17" s="14" t="n">
        <v>0</v>
      </c>
      <c r="C17" s="14" t="n">
        <v>1500</v>
      </c>
      <c r="D17" s="12" t="s">
        <v>172</v>
      </c>
    </row>
    <row r="18" customFormat="false" ht="31.5" hidden="false" customHeight="true" outlineLevel="0" collapsed="false">
      <c r="A18" s="12" t="s">
        <v>173</v>
      </c>
      <c r="B18" s="14" t="n">
        <v>0</v>
      </c>
      <c r="C18" s="14" t="n">
        <v>30</v>
      </c>
      <c r="D18" s="12" t="s">
        <v>174</v>
      </c>
    </row>
    <row r="19" customFormat="false" ht="15" hidden="false" customHeight="false" outlineLevel="0" collapsed="false">
      <c r="A19" s="8" t="s">
        <v>175</v>
      </c>
      <c r="B19" s="9" t="n">
        <f aca="false">SUM(B15:B18)</f>
        <v>800</v>
      </c>
      <c r="C19" s="9" t="n">
        <f aca="false">SUM(C15:C18)</f>
        <v>8530</v>
      </c>
      <c r="D19" s="8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20"/>
  </cols>
  <sheetData>
    <row r="1" customFormat="false" ht="24" hidden="false" customHeight="true" outlineLevel="0" collapsed="false">
      <c r="A1" s="1" t="s">
        <v>176</v>
      </c>
      <c r="B1" s="1"/>
    </row>
    <row r="2" customFormat="false" ht="15.75" hidden="false" customHeight="true" outlineLevel="0" collapsed="false">
      <c r="A2" s="2" t="s">
        <v>177</v>
      </c>
      <c r="B2" s="2"/>
    </row>
    <row r="4" customFormat="false" ht="15" hidden="false" customHeight="false" outlineLevel="0" collapsed="false">
      <c r="A4" s="3" t="s">
        <v>178</v>
      </c>
    </row>
    <row r="5" customFormat="false" ht="30" hidden="false" customHeight="true" outlineLevel="0" collapsed="false">
      <c r="A5" s="4" t="s">
        <v>179</v>
      </c>
      <c r="B5" s="4"/>
    </row>
    <row r="6" customFormat="false" ht="30" hidden="false" customHeight="true" outlineLevel="0" collapsed="false">
      <c r="A6" s="4" t="s">
        <v>180</v>
      </c>
      <c r="B6" s="4"/>
    </row>
    <row r="7" customFormat="false" ht="30" hidden="false" customHeight="true" outlineLevel="0" collapsed="false">
      <c r="A7" s="4" t="s">
        <v>181</v>
      </c>
      <c r="B7" s="4"/>
    </row>
    <row r="8" customFormat="false" ht="30" hidden="false" customHeight="true" outlineLevel="0" collapsed="false">
      <c r="A8" s="4" t="s">
        <v>182</v>
      </c>
      <c r="B8" s="4"/>
    </row>
    <row r="9" customFormat="false" ht="30" hidden="false" customHeight="true" outlineLevel="0" collapsed="false">
      <c r="A9" s="4" t="s">
        <v>183</v>
      </c>
      <c r="B9" s="4"/>
    </row>
  </sheetData>
  <mergeCells count="7">
    <mergeCell ref="A1:B1"/>
    <mergeCell ref="A2:B2"/>
    <mergeCell ref="A5:B5"/>
    <mergeCell ref="A6:B6"/>
    <mergeCell ref="A7:B7"/>
    <mergeCell ref="A8:B8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2026-09-01T07:28:43Z</dcterms:created>
  <dc:creator>openpyxl</dc:creator>
  <dc:description/>
  <dc:language>en-US</dc:language>
  <cp:lastModifiedBy/>
  <dcterms:modified xsi:type="dcterms:W3CDTF">2026-09-01T07:28:43Z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